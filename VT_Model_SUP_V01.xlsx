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juane\Documents\Master UPC\2 Energy Modelling and Climate Policy\Artur Classes\Part 2 VEDA\MSc_SELECT\"/>
    </mc:Choice>
  </mc:AlternateContent>
  <xr:revisionPtr revIDLastSave="0" documentId="13_ncr:1_{89944812-C6E4-4C17-A703-D65504EE2D07}" xr6:coauthVersionLast="47" xr6:coauthVersionMax="47" xr10:uidLastSave="{00000000-0000-0000-0000-000000000000}"/>
  <bookViews>
    <workbookView xWindow="-108" yWindow="-108" windowWidth="23256" windowHeight="12456" tabRatio="901" activeTab="2" xr2:uid="{00000000-000D-0000-FFFF-FFFF00000000}"/>
  </bookViews>
  <sheets>
    <sheet name="SEC_Comm" sheetId="112" r:id="rId1"/>
    <sheet name="SEC_Processes" sheetId="127" r:id="rId2"/>
    <sheet name="MIN_IMP" sheetId="133" r:id="rId3"/>
  </sheets>
  <externalReferences>
    <externalReference r:id="rId4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33" l="1"/>
  <c r="B12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sharedStrings.xml><?xml version="1.0" encoding="utf-8"?>
<sst xmlns="http://schemas.openxmlformats.org/spreadsheetml/2006/main" count="154" uniqueCount="100">
  <si>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</si>
  <si>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</si>
  <si>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</si>
  <si>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</si>
  <si>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</si>
  <si>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</si>
  <si>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</si>
  <si>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</si>
  <si>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</si>
  <si>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</si>
  <si>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</si>
  <si>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</si>
  <si>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</si>
  <si>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</si>
  <si>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</si>
  <si>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</si>
  <si>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</si>
  <si>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</si>
  <si>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Available Commodity Sets</t>
  </si>
  <si>
    <t>Energy</t>
  </si>
  <si>
    <t>ENV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</si>
  <si>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</si>
  <si>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</si>
  <si>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</si>
  <si>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</si>
  <si>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</si>
  <si>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</si>
  <si>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</si>
  <si>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</si>
  <si>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</si>
  <si>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</si>
  <si>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</si>
  <si>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</si>
  <si>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</si>
  <si>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</si>
  <si>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</si>
  <si>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</si>
  <si>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</si>
  <si>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</si>
  <si>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</si>
  <si>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</si>
  <si>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</si>
  <si>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</si>
  <si>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</si>
  <si>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</si>
  <si>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</si>
  <si>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</si>
  <si>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MIN</t>
  </si>
  <si>
    <t>IMP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</si>
  <si>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</si>
  <si>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</si>
  <si>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</si>
  <si>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</si>
  <si>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</si>
  <si>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</si>
  <si>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</si>
  <si>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</si>
  <si>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</si>
  <si>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</si>
  <si>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</si>
  <si>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Import</t>
  </si>
  <si>
    <t>Commodity only at Output</t>
  </si>
  <si>
    <t>EXP</t>
  </si>
  <si>
    <t>Eksport</t>
  </si>
  <si>
    <t>Commodity only at Input</t>
  </si>
  <si>
    <t>Mining</t>
  </si>
  <si>
    <t>HPL</t>
  </si>
  <si>
    <t>Heat Only Plant</t>
  </si>
  <si>
    <t>Primary Energy Carriers Extraction</t>
  </si>
  <si>
    <t>~FI_T</t>
  </si>
  <si>
    <t>* TechDesc</t>
  </si>
  <si>
    <t>Comm-OUT</t>
  </si>
  <si>
    <t>\I: Technology Name</t>
  </si>
  <si>
    <t>Output Commodity</t>
  </si>
  <si>
    <t>Extraction Cost [EUR/GJ]</t>
  </si>
  <si>
    <t>Cumulative bound</t>
  </si>
  <si>
    <t>MIN_SOLAR</t>
  </si>
  <si>
    <t>Solar Irradiation Process</t>
  </si>
  <si>
    <t>PJ</t>
  </si>
  <si>
    <t>SOLAR</t>
  </si>
  <si>
    <t>DAYNITE</t>
  </si>
  <si>
    <t>WIND_ON</t>
  </si>
  <si>
    <t>WIND_OFF</t>
  </si>
  <si>
    <t>ELC</t>
  </si>
  <si>
    <t>Wind Onshore</t>
  </si>
  <si>
    <t>Wind Offshore</t>
  </si>
  <si>
    <t>NAT_GAS</t>
  </si>
  <si>
    <t>Natural Gas</t>
  </si>
  <si>
    <t>Electricity</t>
  </si>
  <si>
    <t>MIN_WIND_OFF</t>
  </si>
  <si>
    <t>MIN_WIND_ON</t>
  </si>
  <si>
    <t>IMP_NAT_GAS</t>
  </si>
  <si>
    <t>IMP_ELC</t>
  </si>
  <si>
    <t>PJ/yr</t>
  </si>
  <si>
    <t>COST</t>
  </si>
  <si>
    <t>CUM</t>
  </si>
  <si>
    <t>ANNUAL</t>
  </si>
  <si>
    <t>URAN</t>
  </si>
  <si>
    <t>Uranium</t>
  </si>
  <si>
    <t>IMP_URAN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</si>
</sst>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&quot;-&quot;??_);_(@_)"/>
    <numFmt numFmtId="165" formatCode="\Te\x\t"/>
    <numFmt numFmtId="166" formatCode="0.00000"/>
  </numFmts>
  <fonts count="56">
    <font>
      <sz val="10"/>
      <name val="Arial"/>
    </font>
    <font>
      <sz val="10"/>
      <name val="Arial"/>
      <family val="2"/>
      <charset val="238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name val="Arial"/>
      <family val="2"/>
      <charset val="238"/>
    </font>
    <font>
      <sz val="10"/>
      <color theme="0"/>
      <name val="Arial"/>
      <family val="2"/>
      <charset val="238"/>
    </font>
    <font>
      <sz val="10"/>
      <color rgb="FF010000"/>
      <name val="Arial"/>
      <family val="2"/>
      <charset val="238"/>
    </font>
    <font>
      <b/>
      <sz val="10"/>
      <color rgb="FF010000"/>
      <name val="Arial"/>
      <family val="2"/>
      <charset val="238"/>
    </font>
    <font>
      <b/>
      <sz val="12"/>
      <color rgb="FF0000FF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337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64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5" fillId="0" borderId="12" xfId="277" applyFont="1" applyBorder="1" applyAlignment="1">
      <alignment horizontal="righ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0" fillId="0" borderId="0" xfId="277" applyFont="1"/>
    <xf numFmtId="0" fontId="3" fillId="24" borderId="0" xfId="0" quotePrefix="1" applyFont="1" applyFill="1"/>
    <xf numFmtId="0" fontId="6" fillId="0" borderId="12" xfId="277" applyFont="1" applyBorder="1" applyAlignment="1">
      <alignment horizontal="left"/>
    </xf>
    <xf numFmtId="165" fontId="6" fillId="0" borderId="0" xfId="0" applyNumberFormat="1" applyFont="1"/>
    <xf numFmtId="165" fontId="0" fillId="0" borderId="0" xfId="0" applyNumberFormat="1"/>
    <xf numFmtId="0" fontId="1" fillId="27" borderId="13" xfId="0" applyFont="1" applyFill="1" applyBorder="1"/>
    <xf numFmtId="0" fontId="1" fillId="28" borderId="0" xfId="0" applyFont="1" applyFill="1"/>
    <xf numFmtId="0" fontId="1" fillId="27" borderId="0" xfId="0" applyFont="1" applyFill="1"/>
    <xf numFmtId="0" fontId="1" fillId="27" borderId="14" xfId="0" applyFont="1" applyFill="1" applyBorder="1"/>
    <xf numFmtId="0" fontId="1" fillId="0" borderId="0" xfId="0" applyFont="1"/>
    <xf numFmtId="165" fontId="2" fillId="29" borderId="10" xfId="0" applyNumberFormat="1" applyFont="1" applyFill="1" applyBorder="1" applyAlignment="1">
      <alignment horizontal="center" vertical="center"/>
    </xf>
    <xf numFmtId="165" fontId="4" fillId="25" borderId="10" xfId="274" applyNumberFormat="1" applyFill="1" applyBorder="1" applyAlignment="1">
      <alignment horizontal="center" vertical="center" wrapText="1"/>
    </xf>
    <xf numFmtId="165" fontId="55" fillId="27" borderId="0" xfId="0" applyNumberFormat="1" applyFont="1" applyFill="1"/>
    <xf numFmtId="165" fontId="54" fillId="30" borderId="15" xfId="0" applyNumberFormat="1" applyFont="1" applyFill="1" applyBorder="1" applyAlignment="1">
      <alignment horizontal="center" vertical="center" wrapText="1"/>
    </xf>
    <xf numFmtId="165" fontId="1" fillId="27" borderId="0" xfId="0" applyNumberFormat="1" applyFont="1" applyFill="1"/>
    <xf numFmtId="1" fontId="4" fillId="27" borderId="0" xfId="0" applyNumberFormat="1" applyFont="1" applyFill="1" applyAlignment="1">
      <alignment horizontal="left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165" fontId="4" fillId="25" borderId="16" xfId="274" applyNumberFormat="1" applyFill="1" applyBorder="1" applyAlignment="1">
      <alignment horizontal="center" vertical="center" wrapText="1"/>
    </xf>
    <xf numFmtId="166" fontId="1" fillId="27" borderId="0" xfId="0" applyNumberFormat="1" applyFont="1" applyFill="1"/>
    <xf numFmtId="166" fontId="1" fillId="28" borderId="0" xfId="0" applyNumberFormat="1" applyFont="1" applyFill="1"/>
    <xf numFmtId="1" fontId="1" fillId="28" borderId="0" xfId="0" applyNumberFormat="1" applyFont="1" applyFill="1"/>
    <xf numFmtId="1" fontId="1" fillId="0" borderId="0" xfId="277" applyNumberFormat="1"/>
    <xf numFmtId="165" fontId="53" fillId="31" borderId="17" xfId="274" applyNumberFormat="1" applyFont="1" applyFill="1" applyBorder="1" applyAlignment="1">
      <alignment horizontal="center" vertical="center" wrapText="1"/>
    </xf>
    <xf numFmtId="0" fontId="52" fillId="26" borderId="11" xfId="0" applyFont="1" applyFill="1" applyBorder="1" applyAlignment="1">
      <alignment horizontal="center"/>
    </xf>
    <xf numFmtId="0" fontId="52" fillId="26" borderId="0" xfId="0" applyFont="1" applyFill="1" applyAlignment="1">
      <alignment horizontal="center"/>
    </xf>
  </cellXfs>
  <cellStyles count="337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" xfId="0" builtinId="0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_MIN" xfId="277" xr:uid="{00000000-0005-0000-0000-000014010000}"/>
    <cellStyle name="Normalny 2" xfId="278" xr:uid="{00000000-0005-0000-0000-000018010000}"/>
    <cellStyle name="Normalny 3" xfId="279" xr:uid="{00000000-0005-0000-0000-000019010000}"/>
    <cellStyle name="Normalny 4" xfId="280" xr:uid="{00000000-0005-0000-0000-00001A010000}"/>
    <cellStyle name="Normalny 5" xfId="281" xr:uid="{00000000-0005-0000-0000-00001B010000}"/>
    <cellStyle name="Normalny 6" xfId="282" xr:uid="{00000000-0005-0000-0000-00001C010000}"/>
    <cellStyle name="Normalny 7" xfId="283" xr:uid="{00000000-0005-0000-0000-00001D010000}"/>
    <cellStyle name="Normalny 8" xfId="284" xr:uid="{00000000-0005-0000-0000-00001E010000}"/>
    <cellStyle name="Normalny 9" xfId="285" xr:uid="{00000000-0005-0000-0000-00001F010000}"/>
    <cellStyle name="Obliczenia" xfId="286" xr:uid="{00000000-0005-0000-0000-000020010000}"/>
    <cellStyle name="Obliczenia 2" xfId="287" xr:uid="{00000000-0005-0000-0000-000021010000}"/>
    <cellStyle name="Obliczenia 3" xfId="288" xr:uid="{00000000-0005-0000-0000-000022010000}"/>
    <cellStyle name="Obliczenia 4" xfId="289" xr:uid="{00000000-0005-0000-0000-000023010000}"/>
    <cellStyle name="Obliczenia 5" xfId="290" xr:uid="{00000000-0005-0000-0000-000024010000}"/>
    <cellStyle name="Obliczenia 6" xfId="291" xr:uid="{00000000-0005-0000-0000-000025010000}"/>
    <cellStyle name="Obliczenia 7" xfId="292" xr:uid="{00000000-0005-0000-0000-000026010000}"/>
    <cellStyle name="Obliczenia 8" xfId="293" xr:uid="{00000000-0005-0000-0000-000027010000}"/>
    <cellStyle name="Standard_Sce_D_Extraction" xfId="294" xr:uid="{00000000-0005-0000-0000-000028010000}"/>
    <cellStyle name="Suma" xfId="295" xr:uid="{00000000-0005-0000-0000-000029010000}"/>
    <cellStyle name="Suma 2" xfId="296" xr:uid="{00000000-0005-0000-0000-00002A010000}"/>
    <cellStyle name="Suma 3" xfId="297" xr:uid="{00000000-0005-0000-0000-00002B010000}"/>
    <cellStyle name="Suma 4" xfId="298" xr:uid="{00000000-0005-0000-0000-00002C010000}"/>
    <cellStyle name="Suma 5" xfId="299" xr:uid="{00000000-0005-0000-0000-00002D010000}"/>
    <cellStyle name="Suma 6" xfId="300" xr:uid="{00000000-0005-0000-0000-00002E010000}"/>
    <cellStyle name="Suma 7" xfId="301" xr:uid="{00000000-0005-0000-0000-00002F010000}"/>
    <cellStyle name="Suma 8" xfId="302" xr:uid="{00000000-0005-0000-0000-000030010000}"/>
    <cellStyle name="Tekst objaśnienia" xfId="303" xr:uid="{00000000-0005-0000-0000-000031010000}"/>
    <cellStyle name="Tekst objaśnienia 2" xfId="304" xr:uid="{00000000-0005-0000-0000-000032010000}"/>
    <cellStyle name="Tekst objaśnienia 3" xfId="305" xr:uid="{00000000-0005-0000-0000-000033010000}"/>
    <cellStyle name="Tekst objaśnienia 4" xfId="306" xr:uid="{00000000-0005-0000-0000-000034010000}"/>
    <cellStyle name="Tekst objaśnienia 5" xfId="307" xr:uid="{00000000-0005-0000-0000-000035010000}"/>
    <cellStyle name="Tekst objaśnienia 6" xfId="308" xr:uid="{00000000-0005-0000-0000-000036010000}"/>
    <cellStyle name="Tekst objaśnienia 7" xfId="309" xr:uid="{00000000-0005-0000-0000-000037010000}"/>
    <cellStyle name="Tekst objaśnienia 8" xfId="310" xr:uid="{00000000-0005-0000-0000-000038010000}"/>
    <cellStyle name="Tekst ostrzeżenia" xfId="311" xr:uid="{00000000-0005-0000-0000-000039010000}"/>
    <cellStyle name="Tekst ostrzeżenia 2" xfId="312" xr:uid="{00000000-0005-0000-0000-00003A010000}"/>
    <cellStyle name="Tekst ostrzeżenia 3" xfId="313" xr:uid="{00000000-0005-0000-0000-00003B010000}"/>
    <cellStyle name="Tekst ostrzeżenia 4" xfId="314" xr:uid="{00000000-0005-0000-0000-00003C010000}"/>
    <cellStyle name="Tekst ostrzeżenia 5" xfId="315" xr:uid="{00000000-0005-0000-0000-00003D010000}"/>
    <cellStyle name="Tekst ostrzeżenia 6" xfId="316" xr:uid="{00000000-0005-0000-0000-00003E010000}"/>
    <cellStyle name="Tekst ostrzeżenia 7" xfId="317" xr:uid="{00000000-0005-0000-0000-00003F010000}"/>
    <cellStyle name="Tekst ostrzeżenia 8" xfId="318" xr:uid="{00000000-0005-0000-0000-000040010000}"/>
    <cellStyle name="Tytuł" xfId="319" xr:uid="{00000000-0005-0000-0000-000041010000}"/>
    <cellStyle name="Uwaga" xfId="320" xr:uid="{00000000-0005-0000-0000-000042010000}"/>
    <cellStyle name="Uwaga 2" xfId="321" xr:uid="{00000000-0005-0000-0000-000043010000}"/>
    <cellStyle name="Uwaga 3" xfId="322" xr:uid="{00000000-0005-0000-0000-000044010000}"/>
    <cellStyle name="Uwaga 4" xfId="323" xr:uid="{00000000-0005-0000-0000-000045010000}"/>
    <cellStyle name="Uwaga 5" xfId="324" xr:uid="{00000000-0005-0000-0000-000046010000}"/>
    <cellStyle name="Uwaga 6" xfId="325" xr:uid="{00000000-0005-0000-0000-000047010000}"/>
    <cellStyle name="Uwaga 7" xfId="326" xr:uid="{00000000-0005-0000-0000-000048010000}"/>
    <cellStyle name="Uwaga 8" xfId="327" xr:uid="{00000000-0005-0000-0000-000049010000}"/>
    <cellStyle name="Złe" xfId="328" xr:uid="{00000000-0005-0000-0000-00004A010000}"/>
    <cellStyle name="Złe 2" xfId="329" xr:uid="{00000000-0005-0000-0000-00004B010000}"/>
    <cellStyle name="Złe 3" xfId="330" xr:uid="{00000000-0005-0000-0000-00004C010000}"/>
    <cellStyle name="Złe 4" xfId="331" xr:uid="{00000000-0005-0000-0000-00004D010000}"/>
    <cellStyle name="Złe 5" xfId="332" xr:uid="{00000000-0005-0000-0000-00004E010000}"/>
    <cellStyle name="Złe 6" xfId="333" xr:uid="{00000000-0005-0000-0000-00004F010000}"/>
    <cellStyle name="Złe 7" xfId="334" xr:uid="{00000000-0005-0000-0000-000050010000}"/>
    <cellStyle name="Złe 8" xfId="335" xr:uid="{00000000-0005-0000-0000-000051010000}"/>
    <cellStyle name="已访问的超链接" xfId="336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I29"/>
  <sheetViews>
    <sheetView zoomScale="110" zoomScaleNormal="110" workbookViewId="0">
      <selection activeCell="I12" sqref="I12"/>
    </sheetView>
  </sheetViews>
  <sheetFormatPr defaultRowHeight="13.2"/>
  <cols>
    <col min="1" max="1" width="2.6640625" customWidth="1"/>
    <col min="2" max="3" width="14.33203125" customWidth="1"/>
    <col min="4" max="4" width="32.6640625" customWidth="1"/>
    <col min="5" max="5" width="10.6640625" customWidth="1"/>
    <col min="6" max="6" width="15.6640625" customWidth="1"/>
    <col min="7" max="7" width="15" customWidth="1"/>
    <col min="8" max="8" width="12.6640625" customWidth="1"/>
    <col min="9" max="9" width="15.6640625" customWidth="1"/>
    <col min="10" max="10" width="7.44140625" bestFit="1" customWidth="1"/>
    <col min="11" max="12" width="10.6640625" bestFit="1" customWidth="1"/>
  </cols>
  <sheetData>
    <row r="2" spans="2:9" ht="17.399999999999999">
      <c r="B2" s="15" t="s">
        <v>0</v>
      </c>
      <c r="C2" s="4"/>
      <c r="D2" s="4"/>
      <c r="E2" s="2"/>
      <c r="F2" s="2"/>
      <c r="G2" s="2"/>
      <c r="H2" s="2"/>
      <c r="I2" s="2"/>
    </row>
    <row r="3" spans="2:9">
      <c r="D3" s="2"/>
      <c r="E3" s="2"/>
      <c r="F3" s="2"/>
      <c r="G3" s="2"/>
      <c r="H3" s="2"/>
      <c r="I3" s="2"/>
    </row>
    <row r="4" spans="2:9" ht="18.75" customHeight="1">
      <c r="B4" s="26" t="s">
        <v>1</v>
      </c>
      <c r="C4" s="26"/>
      <c r="D4" s="26"/>
      <c r="E4" s="26"/>
      <c r="F4" s="26"/>
      <c r="G4" s="26"/>
      <c r="H4" s="26"/>
      <c r="I4" s="26"/>
    </row>
    <row r="5" spans="2:9">
      <c r="B5" s="27" t="s">
        <v>2</v>
      </c>
      <c r="C5" s="27" t="s">
        <v>3</v>
      </c>
      <c r="D5" s="27" t="s">
        <v>4</v>
      </c>
      <c r="E5" s="27" t="s">
        <v>5</v>
      </c>
      <c r="F5" s="27" t="s">
        <v>6</v>
      </c>
      <c r="G5" s="27" t="s">
        <v>7</v>
      </c>
      <c r="H5" s="27" t="s">
        <v>8</v>
      </c>
      <c r="I5" s="27" t="s">
        <v>9</v>
      </c>
    </row>
    <row r="6" spans="2:9" ht="39.6">
      <c r="B6" s="37" t="s">
        <v>10</v>
      </c>
      <c r="C6" s="37" t="s">
        <v>11</v>
      </c>
      <c r="D6" s="37" t="s">
        <v>12</v>
      </c>
      <c r="E6" s="37" t="s">
        <v>5</v>
      </c>
      <c r="F6" s="37" t="s">
        <v>13</v>
      </c>
      <c r="G6" s="37" t="s">
        <v>14</v>
      </c>
      <c r="H6" s="37" t="s">
        <v>15</v>
      </c>
      <c r="I6" s="37" t="s">
        <v>16</v>
      </c>
    </row>
    <row r="7" spans="2:9" ht="12.75" customHeight="1">
      <c r="B7" s="21" t="s">
        <v>17</v>
      </c>
      <c r="C7" s="21" t="s">
        <v>79</v>
      </c>
      <c r="D7" s="21" t="s">
        <v>77</v>
      </c>
      <c r="E7" s="21" t="s">
        <v>78</v>
      </c>
      <c r="F7" s="21"/>
      <c r="G7" s="21" t="s">
        <v>80</v>
      </c>
      <c r="H7" s="21"/>
      <c r="I7" s="21"/>
    </row>
    <row r="8" spans="2:9" ht="12.75" customHeight="1">
      <c r="B8" s="20" t="s">
        <v>17</v>
      </c>
      <c r="C8" s="20" t="s">
        <v>81</v>
      </c>
      <c r="D8" s="20" t="s">
        <v>84</v>
      </c>
      <c r="E8" s="20" t="s">
        <v>78</v>
      </c>
      <c r="F8" s="20"/>
      <c r="G8" s="20" t="s">
        <v>80</v>
      </c>
      <c r="H8" s="20"/>
      <c r="I8" s="20"/>
    </row>
    <row r="9" spans="2:9" ht="12.75" customHeight="1">
      <c r="B9" s="21" t="s">
        <v>17</v>
      </c>
      <c r="C9" s="21" t="s">
        <v>82</v>
      </c>
      <c r="D9" s="21" t="s">
        <v>85</v>
      </c>
      <c r="E9" s="21" t="s">
        <v>78</v>
      </c>
      <c r="F9" s="21"/>
      <c r="G9" s="21" t="s">
        <v>80</v>
      </c>
      <c r="H9" s="21"/>
      <c r="I9" s="21"/>
    </row>
    <row r="10" spans="2:9" ht="12.75" customHeight="1">
      <c r="B10" s="20" t="s">
        <v>17</v>
      </c>
      <c r="C10" s="20" t="s">
        <v>86</v>
      </c>
      <c r="D10" s="20" t="s">
        <v>87</v>
      </c>
      <c r="E10" s="20" t="s">
        <v>78</v>
      </c>
      <c r="F10" s="20"/>
      <c r="G10" s="20" t="s">
        <v>96</v>
      </c>
      <c r="H10" s="20"/>
      <c r="I10" s="20"/>
    </row>
    <row r="11" spans="2:9" ht="12.75" customHeight="1">
      <c r="B11" s="21" t="s">
        <v>17</v>
      </c>
      <c r="C11" s="21" t="s">
        <v>83</v>
      </c>
      <c r="D11" s="21" t="s">
        <v>88</v>
      </c>
      <c r="E11" s="21" t="s">
        <v>78</v>
      </c>
      <c r="F11" s="21"/>
      <c r="G11" s="21" t="s">
        <v>80</v>
      </c>
      <c r="H11" s="21"/>
      <c r="I11" s="21" t="s">
        <v>83</v>
      </c>
    </row>
    <row r="12" spans="2:9">
      <c r="B12" s="23" t="s">
        <v>17</v>
      </c>
      <c r="C12" s="23" t="s">
        <v>97</v>
      </c>
      <c r="D12" s="20" t="s">
        <v>98</v>
      </c>
      <c r="E12" s="23" t="s">
        <v>78</v>
      </c>
      <c r="F12" s="18"/>
      <c r="G12" s="20" t="s">
        <v>96</v>
      </c>
    </row>
    <row r="13" spans="2:9">
      <c r="F13" s="18"/>
    </row>
    <row r="14" spans="2:9">
      <c r="B14" s="23"/>
      <c r="C14" s="23"/>
      <c r="E14" s="23"/>
      <c r="F14" s="18"/>
    </row>
    <row r="15" spans="2:9">
      <c r="B15" s="23"/>
      <c r="C15" s="23"/>
      <c r="E15" s="23"/>
      <c r="F15" s="18"/>
    </row>
    <row r="16" spans="2:9">
      <c r="B16" s="23"/>
      <c r="C16" s="23"/>
      <c r="E16" s="23"/>
      <c r="F16" s="18"/>
    </row>
    <row r="17" spans="2:5">
      <c r="B17" s="23"/>
      <c r="C17" s="23"/>
      <c r="E17" s="23"/>
    </row>
    <row r="18" spans="2:5">
      <c r="B18" s="23"/>
      <c r="C18" s="23"/>
      <c r="E18" s="23"/>
    </row>
    <row r="19" spans="2:5">
      <c r="B19" s="23"/>
      <c r="C19" s="23"/>
      <c r="E19" s="23"/>
    </row>
    <row r="20" spans="2:5">
      <c r="B20" s="23"/>
      <c r="C20" s="23"/>
      <c r="E20" s="23"/>
    </row>
    <row r="22" spans="2:5">
      <c r="B22" s="23"/>
      <c r="C22" s="23"/>
      <c r="E22" s="23"/>
    </row>
    <row r="24" spans="2:5" ht="13.8" thickBot="1">
      <c r="B24" s="38" t="s">
        <v>18</v>
      </c>
      <c r="C24" s="38"/>
    </row>
    <row r="25" spans="2:5">
      <c r="B25" s="19" t="s">
        <v>17</v>
      </c>
      <c r="C25" s="19" t="s">
        <v>19</v>
      </c>
    </row>
    <row r="26" spans="2:5">
      <c r="B26" s="20" t="s">
        <v>20</v>
      </c>
      <c r="C26" s="20" t="s">
        <v>21</v>
      </c>
    </row>
    <row r="27" spans="2:5">
      <c r="B27" s="21" t="s">
        <v>22</v>
      </c>
      <c r="C27" s="21" t="s">
        <v>23</v>
      </c>
    </row>
    <row r="28" spans="2:5">
      <c r="B28" s="20" t="s">
        <v>24</v>
      </c>
      <c r="C28" s="20" t="s">
        <v>25</v>
      </c>
    </row>
    <row r="29" spans="2:5" ht="13.8" thickBot="1">
      <c r="B29" s="22" t="s">
        <v>26</v>
      </c>
      <c r="C29" s="22" t="s">
        <v>27</v>
      </c>
    </row>
  </sheetData>
  <mergeCells count="1">
    <mergeCell ref="B24:C24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1"/>
  <sheetViews>
    <sheetView zoomScale="110" zoomScaleNormal="110" workbookViewId="0">
      <selection activeCell="J12" sqref="J12"/>
    </sheetView>
  </sheetViews>
  <sheetFormatPr defaultRowHeight="13.2"/>
  <cols>
    <col min="1" max="1" width="2.6640625" customWidth="1"/>
    <col min="2" max="2" width="15.6640625" customWidth="1"/>
    <col min="3" max="3" width="15" customWidth="1"/>
    <col min="4" max="4" width="24" customWidth="1"/>
    <col min="5" max="5" width="28.5546875" customWidth="1"/>
    <col min="6" max="7" width="10" customWidth="1"/>
    <col min="8" max="8" width="11.44140625" customWidth="1"/>
    <col min="9" max="9" width="14.33203125" customWidth="1"/>
    <col min="10" max="10" width="10" customWidth="1"/>
    <col min="13" max="13" width="11.88671875" customWidth="1"/>
  </cols>
  <sheetData>
    <row r="2" spans="1:10" ht="18" customHeight="1">
      <c r="A2" s="3"/>
      <c r="B2" s="15" t="s">
        <v>28</v>
      </c>
      <c r="C2" s="1"/>
      <c r="D2" s="1"/>
    </row>
    <row r="3" spans="1:10" ht="12.75" customHeight="1"/>
    <row r="4" spans="1:10" ht="15.75" customHeight="1">
      <c r="B4" s="17" t="s">
        <v>29</v>
      </c>
      <c r="C4" s="17"/>
      <c r="D4" s="18"/>
      <c r="E4" s="18"/>
      <c r="F4" s="18"/>
      <c r="G4" s="18"/>
      <c r="H4" s="18"/>
      <c r="I4" s="18"/>
      <c r="J4" s="18"/>
    </row>
    <row r="5" spans="1:10" ht="15.75" customHeight="1">
      <c r="B5" s="24" t="s">
        <v>30</v>
      </c>
      <c r="C5" s="24" t="s">
        <v>31</v>
      </c>
      <c r="D5" s="24" t="s">
        <v>32</v>
      </c>
      <c r="E5" s="24" t="s">
        <v>33</v>
      </c>
      <c r="F5" s="24" t="s">
        <v>34</v>
      </c>
      <c r="G5" s="24" t="s">
        <v>35</v>
      </c>
      <c r="H5" s="24" t="s">
        <v>36</v>
      </c>
      <c r="I5" s="24" t="s">
        <v>37</v>
      </c>
      <c r="J5" s="24" t="s">
        <v>38</v>
      </c>
    </row>
    <row r="6" spans="1:10" ht="47.25" customHeight="1">
      <c r="B6" s="32" t="s">
        <v>39</v>
      </c>
      <c r="C6" s="32" t="s">
        <v>40</v>
      </c>
      <c r="D6" s="32" t="s">
        <v>41</v>
      </c>
      <c r="E6" s="32" t="s">
        <v>42</v>
      </c>
      <c r="F6" s="32" t="s">
        <v>43</v>
      </c>
      <c r="G6" s="32" t="s">
        <v>44</v>
      </c>
      <c r="H6" s="32" t="s">
        <v>14</v>
      </c>
      <c r="I6" s="32" t="s">
        <v>45</v>
      </c>
      <c r="J6" s="32" t="s">
        <v>46</v>
      </c>
    </row>
    <row r="7" spans="1:10" ht="15.75" customHeight="1">
      <c r="B7" s="21" t="s">
        <v>47</v>
      </c>
      <c r="C7" s="21"/>
      <c r="D7" s="21" t="s">
        <v>76</v>
      </c>
      <c r="E7" s="21"/>
      <c r="F7" s="21" t="s">
        <v>78</v>
      </c>
      <c r="G7" s="21" t="s">
        <v>93</v>
      </c>
      <c r="H7" s="21" t="s">
        <v>80</v>
      </c>
      <c r="I7" s="21"/>
      <c r="J7" s="21"/>
    </row>
    <row r="8" spans="1:10" ht="15.75" customHeight="1">
      <c r="B8" s="20" t="s">
        <v>47</v>
      </c>
      <c r="C8" s="20"/>
      <c r="D8" s="20" t="s">
        <v>90</v>
      </c>
      <c r="E8" s="20"/>
      <c r="F8" s="20" t="s">
        <v>78</v>
      </c>
      <c r="G8" s="20" t="s">
        <v>93</v>
      </c>
      <c r="H8" s="20" t="s">
        <v>80</v>
      </c>
      <c r="I8" s="20"/>
      <c r="J8" s="20"/>
    </row>
    <row r="9" spans="1:10">
      <c r="B9" s="21" t="s">
        <v>47</v>
      </c>
      <c r="C9" s="21"/>
      <c r="D9" s="21" t="s">
        <v>89</v>
      </c>
      <c r="E9" s="21"/>
      <c r="F9" s="21" t="s">
        <v>78</v>
      </c>
      <c r="G9" s="21" t="s">
        <v>93</v>
      </c>
      <c r="H9" s="21" t="s">
        <v>80</v>
      </c>
      <c r="I9" s="21"/>
      <c r="J9" s="21"/>
    </row>
    <row r="10" spans="1:10" ht="14.25" customHeight="1">
      <c r="B10" s="20" t="s">
        <v>48</v>
      </c>
      <c r="C10" s="20"/>
      <c r="D10" s="20" t="s">
        <v>91</v>
      </c>
      <c r="E10" s="20"/>
      <c r="F10" s="20" t="s">
        <v>78</v>
      </c>
      <c r="G10" s="20" t="s">
        <v>93</v>
      </c>
      <c r="H10" s="20" t="s">
        <v>96</v>
      </c>
      <c r="I10" s="20"/>
      <c r="J10" s="20"/>
    </row>
    <row r="11" spans="1:10">
      <c r="B11" s="21" t="s">
        <v>48</v>
      </c>
      <c r="C11" s="21"/>
      <c r="D11" s="21" t="s">
        <v>92</v>
      </c>
      <c r="E11" s="21"/>
      <c r="F11" s="21" t="s">
        <v>78</v>
      </c>
      <c r="G11" s="21" t="s">
        <v>93</v>
      </c>
      <c r="H11" s="21" t="s">
        <v>80</v>
      </c>
      <c r="I11" s="21"/>
      <c r="J11" s="21"/>
    </row>
    <row r="12" spans="1:10">
      <c r="B12" s="20" t="s">
        <v>48</v>
      </c>
      <c r="D12" s="20" t="s">
        <v>99</v>
      </c>
      <c r="F12" s="20" t="s">
        <v>78</v>
      </c>
      <c r="G12" s="20" t="s">
        <v>93</v>
      </c>
      <c r="H12" s="20" t="s">
        <v>96</v>
      </c>
    </row>
    <row r="15" spans="1:10">
      <c r="B15" s="23"/>
      <c r="C15" s="23"/>
      <c r="F15" s="18"/>
    </row>
    <row r="16" spans="1:10">
      <c r="B16" s="23"/>
      <c r="C16" s="23"/>
      <c r="F16" s="18"/>
    </row>
    <row r="17" spans="2:6">
      <c r="B17" s="23"/>
      <c r="C17" s="23"/>
      <c r="D17" s="23"/>
      <c r="E17" s="23"/>
      <c r="F17" s="18"/>
    </row>
    <row r="18" spans="2:6">
      <c r="B18" s="23"/>
      <c r="C18" s="23"/>
      <c r="D18" s="23"/>
      <c r="E18" s="23"/>
      <c r="F18" s="18"/>
    </row>
    <row r="19" spans="2:6">
      <c r="B19" s="23"/>
      <c r="C19" s="23"/>
      <c r="D19" s="23"/>
      <c r="E19" s="23"/>
      <c r="F19" s="18"/>
    </row>
    <row r="22" spans="2:6">
      <c r="B22" s="39" t="s">
        <v>49</v>
      </c>
      <c r="C22" s="39"/>
      <c r="D22" s="39"/>
    </row>
    <row r="23" spans="2:6">
      <c r="B23" s="21" t="s">
        <v>50</v>
      </c>
      <c r="C23" s="21" t="s">
        <v>51</v>
      </c>
      <c r="D23" s="21"/>
    </row>
    <row r="24" spans="2:6">
      <c r="B24" s="20" t="s">
        <v>52</v>
      </c>
      <c r="C24" s="20" t="s">
        <v>53</v>
      </c>
      <c r="D24" s="20"/>
    </row>
    <row r="25" spans="2:6">
      <c r="B25" s="21" t="s">
        <v>54</v>
      </c>
      <c r="C25" s="21" t="s">
        <v>55</v>
      </c>
      <c r="D25" s="21"/>
    </row>
    <row r="26" spans="2:6">
      <c r="B26" s="20" t="s">
        <v>56</v>
      </c>
      <c r="C26" s="20" t="s">
        <v>57</v>
      </c>
      <c r="D26" s="20"/>
    </row>
    <row r="27" spans="2:6">
      <c r="B27" s="21" t="s">
        <v>58</v>
      </c>
      <c r="C27" s="21" t="s">
        <v>59</v>
      </c>
      <c r="D27" s="21"/>
    </row>
    <row r="28" spans="2:6">
      <c r="B28" s="20" t="s">
        <v>48</v>
      </c>
      <c r="C28" s="20" t="s">
        <v>60</v>
      </c>
      <c r="D28" s="20" t="s">
        <v>61</v>
      </c>
    </row>
    <row r="29" spans="2:6">
      <c r="B29" s="21" t="s">
        <v>62</v>
      </c>
      <c r="C29" s="21" t="s">
        <v>63</v>
      </c>
      <c r="D29" s="21" t="s">
        <v>64</v>
      </c>
    </row>
    <row r="30" spans="2:6">
      <c r="B30" s="20" t="s">
        <v>47</v>
      </c>
      <c r="C30" s="20" t="s">
        <v>65</v>
      </c>
      <c r="D30" s="20" t="s">
        <v>61</v>
      </c>
    </row>
    <row r="31" spans="2:6" ht="13.8" thickBot="1">
      <c r="B31" s="22" t="s">
        <v>66</v>
      </c>
      <c r="C31" s="22" t="s">
        <v>67</v>
      </c>
      <c r="D31" s="22"/>
    </row>
  </sheetData>
  <mergeCells count="1">
    <mergeCell ref="B22:D2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tabSelected="1" zoomScale="130" zoomScaleNormal="130" workbookViewId="0">
      <selection activeCell="E13" sqref="E13"/>
    </sheetView>
  </sheetViews>
  <sheetFormatPr defaultRowHeight="13.2"/>
  <cols>
    <col min="1" max="1" width="2.6640625" customWidth="1"/>
    <col min="2" max="2" width="22.6640625" customWidth="1"/>
    <col min="3" max="3" width="27.33203125" customWidth="1"/>
    <col min="4" max="5" width="12.6640625" customWidth="1"/>
    <col min="6" max="7" width="14.33203125" customWidth="1"/>
    <col min="8" max="10" width="15.6640625" customWidth="1"/>
  </cols>
  <sheetData>
    <row r="1" spans="1:20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7.399999999999999">
      <c r="A2" s="5"/>
      <c r="B2" s="10" t="s">
        <v>68</v>
      </c>
      <c r="C2" s="10"/>
      <c r="D2" s="10"/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A3" s="8"/>
      <c r="B3" s="9"/>
      <c r="C3" s="5"/>
      <c r="D3" s="6"/>
      <c r="E3" s="7"/>
      <c r="F3" s="5"/>
      <c r="G3" s="7"/>
      <c r="H3" s="1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5.75" customHeight="1">
      <c r="A4" s="5"/>
      <c r="D4" s="16" t="s">
        <v>69</v>
      </c>
      <c r="E4" s="5"/>
      <c r="F4" s="5"/>
      <c r="G4" s="11"/>
      <c r="H4" s="14"/>
      <c r="I4" s="5"/>
      <c r="J4" s="5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5.75" customHeight="1">
      <c r="A5" s="5"/>
      <c r="B5" s="24" t="s">
        <v>32</v>
      </c>
      <c r="C5" s="24" t="s">
        <v>70</v>
      </c>
      <c r="D5" s="24" t="s">
        <v>71</v>
      </c>
      <c r="E5" s="24" t="s">
        <v>94</v>
      </c>
      <c r="F5" s="24" t="s">
        <v>95</v>
      </c>
      <c r="H5" s="14"/>
      <c r="I5" s="5"/>
      <c r="J5" s="5"/>
      <c r="K5" s="13"/>
      <c r="L5" s="13"/>
      <c r="M5" s="13"/>
      <c r="N5" s="13"/>
      <c r="O5" s="13"/>
      <c r="P5" s="13"/>
      <c r="Q5" s="13"/>
      <c r="R5" s="5"/>
      <c r="S5" s="5"/>
      <c r="T5" s="5"/>
    </row>
    <row r="6" spans="1:20" ht="47.25" customHeight="1">
      <c r="A6" s="5"/>
      <c r="B6" s="25" t="s">
        <v>72</v>
      </c>
      <c r="C6" s="25" t="s">
        <v>42</v>
      </c>
      <c r="D6" s="25" t="s">
        <v>73</v>
      </c>
      <c r="E6" s="25" t="s">
        <v>74</v>
      </c>
      <c r="F6" s="25" t="s">
        <v>75</v>
      </c>
      <c r="H6" s="1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15.75" customHeight="1">
      <c r="B7" s="21" t="s">
        <v>76</v>
      </c>
      <c r="C7" s="21"/>
      <c r="D7" s="21" t="s">
        <v>79</v>
      </c>
      <c r="E7" s="33">
        <v>1.0000000000000001E-5</v>
      </c>
      <c r="F7" s="21"/>
      <c r="H7" s="14"/>
      <c r="I7" s="5"/>
      <c r="J7" s="5"/>
      <c r="K7" s="31"/>
    </row>
    <row r="8" spans="1:20" ht="15.75" customHeight="1">
      <c r="B8" s="20" t="s">
        <v>90</v>
      </c>
      <c r="C8" s="20"/>
      <c r="D8" s="20" t="s">
        <v>81</v>
      </c>
      <c r="E8" s="34">
        <v>1.0000000000000001E-5</v>
      </c>
      <c r="F8" s="20"/>
      <c r="H8" s="14"/>
      <c r="I8" s="5"/>
      <c r="J8" s="5"/>
      <c r="K8" s="30"/>
    </row>
    <row r="9" spans="1:20">
      <c r="B9" s="21" t="s">
        <v>89</v>
      </c>
      <c r="C9" s="21"/>
      <c r="D9" s="21" t="s">
        <v>82</v>
      </c>
      <c r="E9" s="33">
        <v>1.0000000000000001E-5</v>
      </c>
      <c r="F9" s="21"/>
      <c r="G9" s="29"/>
      <c r="H9" s="14"/>
      <c r="I9" s="5"/>
      <c r="J9" s="5"/>
    </row>
    <row r="10" spans="1:20">
      <c r="B10" s="20" t="s">
        <v>91</v>
      </c>
      <c r="C10" s="20"/>
      <c r="D10" s="20" t="s">
        <v>86</v>
      </c>
      <c r="E10" s="35">
        <v>10</v>
      </c>
      <c r="F10" s="20"/>
      <c r="G10" s="29"/>
      <c r="H10" s="14"/>
      <c r="I10" s="5"/>
      <c r="J10" s="5"/>
    </row>
    <row r="11" spans="1:20">
      <c r="B11" s="28" t="s">
        <v>92</v>
      </c>
      <c r="C11" s="29"/>
      <c r="D11" s="29" t="s">
        <v>83</v>
      </c>
      <c r="E11" s="36">
        <v>50</v>
      </c>
      <c r="H11" s="14"/>
      <c r="I11" s="5"/>
      <c r="J11" s="5"/>
    </row>
    <row r="12" spans="1:20">
      <c r="B12" t="str">
        <f>SEC_Processes!D12</f>
        <v>IMP_URAN</v>
      </c>
      <c r="D12" t="str">
        <f>SEC_Comm!C12</f>
        <v>URAN</v>
      </c>
      <c r="E12">
        <v>0.5</v>
      </c>
      <c r="F12" s="5"/>
      <c r="H12" s="14"/>
      <c r="I12" s="5"/>
      <c r="J12" s="5"/>
    </row>
    <row r="13" spans="1:20">
      <c r="F13" s="5"/>
      <c r="H13" s="14"/>
      <c r="I13" s="5"/>
      <c r="J13" s="5"/>
    </row>
    <row r="14" spans="1:20">
      <c r="F14" s="5"/>
      <c r="H14" s="14"/>
      <c r="I14" s="5"/>
      <c r="J14" s="5"/>
    </row>
    <row r="15" spans="1:20">
      <c r="F15" s="5"/>
      <c r="H15" s="14"/>
      <c r="I15" s="5"/>
      <c r="J15" s="5"/>
    </row>
    <row r="16" spans="1:20">
      <c r="F16" s="5"/>
      <c r="H16" s="14"/>
      <c r="I16" s="5"/>
      <c r="J16" s="5"/>
    </row>
    <row r="17" spans="8:10">
      <c r="H17" s="14"/>
      <c r="I17" s="5"/>
      <c r="J17" s="5"/>
    </row>
    <row r="18" spans="8:10">
      <c r="H18" s="14"/>
      <c r="I18" s="5"/>
      <c r="J18" s="5"/>
    </row>
    <row r="19" spans="8:10">
      <c r="H19" s="14"/>
      <c r="I19" s="5"/>
      <c r="J19" s="5"/>
    </row>
    <row r="20" spans="8:10">
      <c r="H20" s="14"/>
      <c r="I20" s="5"/>
      <c r="J20" s="5"/>
    </row>
    <row r="21" spans="8:10">
      <c r="H21" s="14"/>
      <c r="I21" s="5"/>
      <c r="J21" s="5"/>
    </row>
    <row r="22" spans="8:10">
      <c r="H22" s="14"/>
      <c r="I22" s="5"/>
      <c r="J22" s="5"/>
    </row>
    <row r="23" spans="8:10">
      <c r="H23" s="14"/>
      <c r="I23" s="5"/>
      <c r="J23" s="5"/>
    </row>
    <row r="24" spans="8:10">
      <c r="H24" s="14"/>
      <c r="I24" s="5"/>
      <c r="J24" s="5"/>
    </row>
    <row r="25" spans="8:10">
      <c r="H25" s="14"/>
      <c r="I25" s="5"/>
      <c r="J25" s="5"/>
    </row>
    <row r="26" spans="8:10">
      <c r="H26" s="14"/>
      <c r="I26" s="5"/>
      <c r="J26" s="5"/>
    </row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54E624-82C6-4C58-B5AA-5F4B4FEE158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ADE2FD8-87C7-41E1-A1A0-6DF35B741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SEC_Comm</vt:lpstr>
      <vt:lpstr>SEC_Processes</vt:lpstr>
      <vt:lpstr>MIN_IMP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Juan Esteban Gallardo</cp:lastModifiedBy>
  <cp:revision/>
  <dcterms:created xsi:type="dcterms:W3CDTF">2000-12-13T15:53:11Z</dcterms:created>
  <dcterms:modified xsi:type="dcterms:W3CDTF">2026-04-30T09:47:02Z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720754504203796</vt:r8>
  </property>
</Properties>
</file>